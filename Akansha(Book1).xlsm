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8C667FDF-5E7A-4167-B413-52CEB6860E3E}" xr6:coauthVersionLast="47" xr6:coauthVersionMax="47" xr10:uidLastSave="{00000000-0000-0000-0000-000000000000}"/>
  <bookViews>
    <workbookView xWindow="-120" yWindow="-120" windowWidth="24240" windowHeight="13020" activeTab="4" xr2:uid="{332815DE-9526-4F50-9972-B5E6388BCAAB}"/>
  </bookViews>
  <sheets>
    <sheet name="Sheet1" sheetId="1" r:id="rId1"/>
    <sheet name="Salary sheet" sheetId="2" r:id="rId2"/>
    <sheet name="Report Card" sheetId="3" r:id="rId3"/>
    <sheet name="marco form" sheetId="4" r:id="rId4"/>
    <sheet name="form" sheetId="5" r:id="rId5"/>
  </sheets>
  <definedNames>
    <definedName name="_xlnm._FilterDatabase" localSheetId="2" hidden="1">'Report Card'!$B$20:$B$23</definedName>
    <definedName name="_xlnm._FilterDatabase" localSheetId="0" hidden="1">Sheet1!$A$1:$C$9</definedName>
    <definedName name="_xlnm.Criteria" localSheetId="0">Sheet1!$F$4:$F$5</definedName>
    <definedName name="_xlnm.Extract" localSheetId="0">Sheet1!$H$4:$I$4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4" l="1"/>
  <c r="J5" i="4"/>
  <c r="J4" i="4"/>
  <c r="J3" i="4"/>
  <c r="G3" i="4"/>
  <c r="G5" i="4"/>
  <c r="G7" i="4"/>
  <c r="G9" i="4"/>
  <c r="M5" i="3"/>
  <c r="M6" i="3"/>
  <c r="M7" i="3"/>
  <c r="M8" i="3"/>
  <c r="M9" i="3"/>
  <c r="M10" i="3"/>
  <c r="N10" i="3" s="1"/>
  <c r="M11" i="3"/>
  <c r="M12" i="3"/>
  <c r="M13" i="3"/>
  <c r="M14" i="3"/>
  <c r="M4" i="3"/>
  <c r="S6" i="2"/>
  <c r="S7" i="2"/>
  <c r="S8" i="2"/>
  <c r="S9" i="2"/>
  <c r="S10" i="2"/>
  <c r="S12" i="2"/>
  <c r="S13" i="2"/>
  <c r="S15" i="2"/>
  <c r="S5" i="2"/>
  <c r="R6" i="2"/>
  <c r="R7" i="2"/>
  <c r="R8" i="2"/>
  <c r="R9" i="2"/>
  <c r="R10" i="2"/>
  <c r="R11" i="2"/>
  <c r="R12" i="2"/>
  <c r="R13" i="2"/>
  <c r="R14" i="2"/>
  <c r="R15" i="2"/>
  <c r="R5" i="2"/>
  <c r="Q6" i="2"/>
  <c r="Q7" i="2"/>
  <c r="Q8" i="2"/>
  <c r="Q9" i="2"/>
  <c r="Q10" i="2"/>
  <c r="Q11" i="2"/>
  <c r="Q12" i="2"/>
  <c r="Q13" i="2"/>
  <c r="Q14" i="2"/>
  <c r="Q15" i="2"/>
  <c r="Q5" i="2"/>
  <c r="P6" i="2"/>
  <c r="P7" i="2"/>
  <c r="P8" i="2"/>
  <c r="P9" i="2"/>
  <c r="P10" i="2"/>
  <c r="P12" i="2"/>
  <c r="P13" i="2"/>
  <c r="P15" i="2"/>
  <c r="P5" i="2"/>
  <c r="O6" i="2"/>
  <c r="O7" i="2"/>
  <c r="O8" i="2"/>
  <c r="O9" i="2"/>
  <c r="O10" i="2"/>
  <c r="O11" i="2"/>
  <c r="P11" i="2" s="1"/>
  <c r="S11" i="2" s="1"/>
  <c r="O12" i="2"/>
  <c r="O13" i="2"/>
  <c r="O14" i="2"/>
  <c r="P14" i="2" s="1"/>
  <c r="S14" i="2" s="1"/>
  <c r="O15" i="2"/>
  <c r="O5" i="2"/>
  <c r="M6" i="2"/>
  <c r="M7" i="2"/>
  <c r="M8" i="2"/>
  <c r="M9" i="2"/>
  <c r="M10" i="2"/>
  <c r="M11" i="2"/>
  <c r="M12" i="2"/>
  <c r="M13" i="2"/>
  <c r="M14" i="2"/>
  <c r="M15" i="2"/>
  <c r="M5" i="2"/>
  <c r="L6" i="2"/>
  <c r="L7" i="2"/>
  <c r="L8" i="2"/>
  <c r="L9" i="2"/>
  <c r="L10" i="2"/>
  <c r="L11" i="2"/>
  <c r="L12" i="2"/>
  <c r="L13" i="2"/>
  <c r="L14" i="2"/>
  <c r="L15" i="2"/>
  <c r="L5" i="2"/>
  <c r="K6" i="2"/>
  <c r="K7" i="2"/>
  <c r="K8" i="2"/>
  <c r="K9" i="2"/>
  <c r="K10" i="2"/>
  <c r="K11" i="2"/>
  <c r="K12" i="2"/>
  <c r="K13" i="2"/>
  <c r="K14" i="2"/>
  <c r="K15" i="2"/>
  <c r="K5" i="2"/>
  <c r="J6" i="2"/>
  <c r="J7" i="2"/>
  <c r="J8" i="2"/>
  <c r="J9" i="2"/>
  <c r="J10" i="2"/>
  <c r="J11" i="2"/>
  <c r="J12" i="2"/>
  <c r="J13" i="2"/>
  <c r="J14" i="2"/>
  <c r="J15" i="2"/>
  <c r="J5" i="2"/>
  <c r="I5" i="2"/>
  <c r="I6" i="2"/>
  <c r="I7" i="2"/>
  <c r="I8" i="2"/>
  <c r="I9" i="2"/>
  <c r="I10" i="2"/>
  <c r="I11" i="2"/>
  <c r="I12" i="2"/>
  <c r="I13" i="2"/>
  <c r="I14" i="2"/>
  <c r="I15" i="2"/>
  <c r="H6" i="2"/>
  <c r="H7" i="2"/>
  <c r="H8" i="2"/>
  <c r="H9" i="2"/>
  <c r="H10" i="2"/>
  <c r="H11" i="2"/>
  <c r="H12" i="2"/>
  <c r="H13" i="2"/>
  <c r="H14" i="2"/>
  <c r="H15" i="2"/>
  <c r="H5" i="2"/>
  <c r="C21" i="3"/>
  <c r="C22" i="3"/>
  <c r="C23" i="3"/>
  <c r="E26" i="3"/>
  <c r="F26" i="3" s="1"/>
  <c r="G26" i="3" s="1"/>
  <c r="E27" i="3"/>
  <c r="F27" i="3" s="1"/>
  <c r="G27" i="3" s="1"/>
  <c r="E28" i="3"/>
  <c r="F28" i="3" s="1"/>
  <c r="G28" i="3" s="1"/>
  <c r="E29" i="3"/>
  <c r="F29" i="3" s="1"/>
  <c r="G29" i="3" s="1"/>
  <c r="F31" i="3"/>
  <c r="O5" i="3"/>
  <c r="O7" i="3"/>
  <c r="O10" i="3"/>
  <c r="O11" i="3"/>
  <c r="O14" i="3"/>
  <c r="O4" i="3"/>
  <c r="N13" i="3"/>
  <c r="N14" i="3"/>
  <c r="L5" i="3"/>
  <c r="L6" i="3"/>
  <c r="L7" i="3"/>
  <c r="L8" i="3"/>
  <c r="L9" i="3"/>
  <c r="L10" i="3"/>
  <c r="L11" i="3"/>
  <c r="L12" i="3"/>
  <c r="L13" i="3"/>
  <c r="L14" i="3"/>
  <c r="L4" i="3"/>
  <c r="K5" i="3"/>
  <c r="N5" i="3" s="1"/>
  <c r="K6" i="3"/>
  <c r="N6" i="3" s="1"/>
  <c r="K7" i="3"/>
  <c r="N7" i="3" s="1"/>
  <c r="K8" i="3"/>
  <c r="O8" i="3" s="1"/>
  <c r="K9" i="3"/>
  <c r="O9" i="3" s="1"/>
  <c r="K10" i="3"/>
  <c r="K11" i="3"/>
  <c r="N11" i="3" s="1"/>
  <c r="K12" i="3"/>
  <c r="O12" i="3" s="1"/>
  <c r="K13" i="3"/>
  <c r="O13" i="3" s="1"/>
  <c r="K14" i="3"/>
  <c r="K4" i="3"/>
  <c r="N4" i="3" s="1"/>
  <c r="F32" i="3" l="1"/>
  <c r="F33" i="3" s="1"/>
  <c r="C31" i="3" s="1"/>
  <c r="N12" i="3"/>
  <c r="N8" i="3"/>
  <c r="O6" i="3"/>
  <c r="N9" i="3"/>
</calcChain>
</file>

<file path=xl/sharedStrings.xml><?xml version="1.0" encoding="utf-8"?>
<sst xmlns="http://schemas.openxmlformats.org/spreadsheetml/2006/main" count="163" uniqueCount="126">
  <si>
    <t>NAME</t>
  </si>
  <si>
    <t>CLASS</t>
  </si>
  <si>
    <t>SUBJECT</t>
  </si>
  <si>
    <t>A</t>
  </si>
  <si>
    <t>B</t>
  </si>
  <si>
    <t>C</t>
  </si>
  <si>
    <t>D</t>
  </si>
  <si>
    <t>ENGLISH</t>
  </si>
  <si>
    <t>MATHS</t>
  </si>
  <si>
    <t>HINDI</t>
  </si>
  <si>
    <t>SCIENCE</t>
  </si>
  <si>
    <t>salary sheet</t>
  </si>
  <si>
    <t>S no.</t>
  </si>
  <si>
    <t>MARK SHEET</t>
  </si>
  <si>
    <t>Student name</t>
  </si>
  <si>
    <t>class</t>
  </si>
  <si>
    <t>English</t>
  </si>
  <si>
    <t>Maths</t>
  </si>
  <si>
    <t>Science</t>
  </si>
  <si>
    <t>Political Science</t>
  </si>
  <si>
    <t>Total</t>
  </si>
  <si>
    <t>Average</t>
  </si>
  <si>
    <t>Grade</t>
  </si>
  <si>
    <t>per%</t>
  </si>
  <si>
    <t>pass/fail</t>
  </si>
  <si>
    <t>neetu</t>
  </si>
  <si>
    <t>supriya</t>
  </si>
  <si>
    <t>neha</t>
  </si>
  <si>
    <t>kabir</t>
  </si>
  <si>
    <t xml:space="preserve">pooja </t>
  </si>
  <si>
    <t>riya</t>
  </si>
  <si>
    <t>rohan</t>
  </si>
  <si>
    <t>samir</t>
  </si>
  <si>
    <t>kartika</t>
  </si>
  <si>
    <t>khushboo</t>
  </si>
  <si>
    <t>deepa</t>
  </si>
  <si>
    <t>Roll no.</t>
  </si>
  <si>
    <t>Father Name</t>
  </si>
  <si>
    <t>Mother Name</t>
  </si>
  <si>
    <t>Raj kumar</t>
  </si>
  <si>
    <t>ravi singh</t>
  </si>
  <si>
    <t>rohit</t>
  </si>
  <si>
    <t>mohit</t>
  </si>
  <si>
    <t>Arjun kumar</t>
  </si>
  <si>
    <t>ram</t>
  </si>
  <si>
    <t>Arjun singh</t>
  </si>
  <si>
    <t>netin</t>
  </si>
  <si>
    <t>rohan kumar</t>
  </si>
  <si>
    <t>vekarm</t>
  </si>
  <si>
    <t>roki</t>
  </si>
  <si>
    <t>reema kumar</t>
  </si>
  <si>
    <t>diviya</t>
  </si>
  <si>
    <t>sita</t>
  </si>
  <si>
    <t>geta</t>
  </si>
  <si>
    <t>pooja</t>
  </si>
  <si>
    <t>gkro</t>
  </si>
  <si>
    <t>rgjidg</t>
  </si>
  <si>
    <t>sdjsfiu</t>
  </si>
  <si>
    <t>fdh</t>
  </si>
  <si>
    <t>dfdj</t>
  </si>
  <si>
    <t>fieer</t>
  </si>
  <si>
    <t>Report Card</t>
  </si>
  <si>
    <t>Name</t>
  </si>
  <si>
    <t>Father name</t>
  </si>
  <si>
    <t>Mother name</t>
  </si>
  <si>
    <t>Subject</t>
  </si>
  <si>
    <t>Total marks</t>
  </si>
  <si>
    <t>Passing marks</t>
  </si>
  <si>
    <t>Obtain marks</t>
  </si>
  <si>
    <t>Political.Sci</t>
  </si>
  <si>
    <t>Percentage</t>
  </si>
  <si>
    <t>Pass/fail</t>
  </si>
  <si>
    <t>percentage</t>
  </si>
  <si>
    <t>fainal reuslt</t>
  </si>
  <si>
    <t>Employes name</t>
  </si>
  <si>
    <t>ID</t>
  </si>
  <si>
    <t>Compani name</t>
  </si>
  <si>
    <t>Post</t>
  </si>
  <si>
    <t>Basic Salary</t>
  </si>
  <si>
    <t>per hur sal</t>
  </si>
  <si>
    <t xml:space="preserve">per day sal </t>
  </si>
  <si>
    <t>D.A10%</t>
  </si>
  <si>
    <t>T.A 4%</t>
  </si>
  <si>
    <t>H.R.A 5%</t>
  </si>
  <si>
    <t>Over time</t>
  </si>
  <si>
    <t>Over time sal</t>
  </si>
  <si>
    <t>gross salary</t>
  </si>
  <si>
    <t>PF 20%</t>
  </si>
  <si>
    <t>ESI 15%</t>
  </si>
  <si>
    <t>NET Salary</t>
  </si>
  <si>
    <t>Rahul</t>
  </si>
  <si>
    <t>Sita</t>
  </si>
  <si>
    <t>Radha</t>
  </si>
  <si>
    <t>Rohan</t>
  </si>
  <si>
    <t>Adi</t>
  </si>
  <si>
    <t>Arjun</t>
  </si>
  <si>
    <t>Kabir</t>
  </si>
  <si>
    <t>Preeti</t>
  </si>
  <si>
    <t>Suhani</t>
  </si>
  <si>
    <t>Deepa</t>
  </si>
  <si>
    <t>Shilpi</t>
  </si>
  <si>
    <t>Att</t>
  </si>
  <si>
    <t>Abc</t>
  </si>
  <si>
    <t>adg</t>
  </si>
  <si>
    <t>sktt</t>
  </si>
  <si>
    <t>jgrfr</t>
  </si>
  <si>
    <t>fjug</t>
  </si>
  <si>
    <t>jfug</t>
  </si>
  <si>
    <t>gjuf</t>
  </si>
  <si>
    <t>gjgu</t>
  </si>
  <si>
    <t>ggt</t>
  </si>
  <si>
    <t>jgo</t>
  </si>
  <si>
    <t>jgutt</t>
  </si>
  <si>
    <t>Manager</t>
  </si>
  <si>
    <t>Employe</t>
  </si>
  <si>
    <t>ATT Salary</t>
  </si>
  <si>
    <t xml:space="preserve"> </t>
  </si>
  <si>
    <t>Class</t>
  </si>
  <si>
    <t>Phone no.</t>
  </si>
  <si>
    <t>V</t>
  </si>
  <si>
    <t>8th</t>
  </si>
  <si>
    <t>Rollno.</t>
  </si>
  <si>
    <t>rm</t>
  </si>
  <si>
    <t>9th</t>
  </si>
  <si>
    <t>JK</t>
  </si>
  <si>
    <t>12th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</si>
</sst>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8"/>
      <color theme="1"/>
      <name val="Algerian"/>
      <family val="5"/>
    </font>
    <font>
      <sz val="11"/>
      <color theme="1"/>
      <name val="Calibri"/>
      <family val="2"/>
      <scheme val="minor"/>
    </font>
    <font>
      <sz val="28"/>
      <color theme="1" tint="4.9989318521683403E-2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1" xfId="1" applyFont="1" applyBorder="1"/>
    <xf numFmtId="1" fontId="0" fillId="0" borderId="0" xfId="0" applyNumberFormat="1"/>
    <xf numFmtId="0" fontId="0" fillId="4" borderId="0" xfId="0" applyFill="1"/>
    <xf numFmtId="0" fontId="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2" xfId="0" applyBorder="1"/>
    <xf numFmtId="0" fontId="0" fillId="0" borderId="0" xfId="0" applyBorder="1"/>
    <xf numFmtId="9" fontId="0" fillId="0" borderId="2" xfId="1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12</xdr:row>
          <xdr:rowOff>152400</xdr:rowOff>
        </xdr:from>
        <xdr:to>
          <xdr:col>12</xdr:col>
          <xdr:colOff>28575</xdr:colOff>
          <xdr:row>15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8</xdr:col>
          <xdr:colOff>238125</xdr:colOff>
          <xdr:row>16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B3FF6-0642-4210-8792-3C3ED7E9311E}">
  <dimension ref="A1:I12"/>
  <sheetViews>
    <sheetView workbookViewId="0">
      <selection activeCell="G14" sqref="G14"/>
    </sheetView>
  </sheetViews>
  <sheetFormatPr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</row>
    <row r="2" spans="1:9" x14ac:dyDescent="0.25">
      <c r="A2" s="1" t="s">
        <v>3</v>
      </c>
      <c r="B2" s="1">
        <v>1</v>
      </c>
      <c r="C2" s="1" t="s">
        <v>7</v>
      </c>
    </row>
    <row r="3" spans="1:9" x14ac:dyDescent="0.25">
      <c r="A3" s="1" t="s">
        <v>4</v>
      </c>
      <c r="B3" s="1">
        <v>2</v>
      </c>
      <c r="C3" s="1" t="s">
        <v>8</v>
      </c>
    </row>
    <row r="4" spans="1:9" x14ac:dyDescent="0.25">
      <c r="A4" s="1" t="s">
        <v>5</v>
      </c>
      <c r="B4" s="1">
        <v>3</v>
      </c>
      <c r="C4" s="1" t="s">
        <v>9</v>
      </c>
      <c r="F4" s="1" t="s">
        <v>0</v>
      </c>
      <c r="H4" s="1" t="s">
        <v>0</v>
      </c>
      <c r="I4" s="1" t="s">
        <v>2</v>
      </c>
    </row>
    <row r="5" spans="1:9" x14ac:dyDescent="0.25">
      <c r="A5" s="1" t="s">
        <v>6</v>
      </c>
      <c r="B5" s="1">
        <v>4</v>
      </c>
      <c r="C5" s="1" t="s">
        <v>10</v>
      </c>
      <c r="F5" s="1" t="s">
        <v>3</v>
      </c>
      <c r="H5" s="1" t="s">
        <v>3</v>
      </c>
      <c r="I5" s="1" t="s">
        <v>7</v>
      </c>
    </row>
    <row r="6" spans="1:9" x14ac:dyDescent="0.25">
      <c r="A6" s="1" t="s">
        <v>3</v>
      </c>
      <c r="B6" s="1">
        <v>1</v>
      </c>
      <c r="C6" s="1" t="s">
        <v>7</v>
      </c>
      <c r="H6" s="1" t="s">
        <v>3</v>
      </c>
      <c r="I6" s="1" t="s">
        <v>7</v>
      </c>
    </row>
    <row r="7" spans="1:9" x14ac:dyDescent="0.25">
      <c r="A7" s="1" t="s">
        <v>4</v>
      </c>
      <c r="B7" s="1">
        <v>2</v>
      </c>
      <c r="C7" s="1" t="s">
        <v>8</v>
      </c>
      <c r="H7" s="1"/>
      <c r="I7" s="1"/>
    </row>
    <row r="8" spans="1:9" x14ac:dyDescent="0.25">
      <c r="A8" s="1" t="s">
        <v>5</v>
      </c>
      <c r="B8" s="1">
        <v>3</v>
      </c>
      <c r="C8" s="1" t="s">
        <v>9</v>
      </c>
      <c r="H8" s="1"/>
      <c r="I8" s="1"/>
    </row>
    <row r="9" spans="1:9" x14ac:dyDescent="0.25">
      <c r="A9" s="1" t="s">
        <v>6</v>
      </c>
      <c r="B9" s="1">
        <v>4</v>
      </c>
      <c r="C9" s="1" t="s">
        <v>10</v>
      </c>
      <c r="H9" s="1"/>
      <c r="I9" s="1"/>
    </row>
    <row r="10" spans="1:9" x14ac:dyDescent="0.25">
      <c r="H10" s="1"/>
      <c r="I10" s="1"/>
    </row>
    <row r="11" spans="1:9" x14ac:dyDescent="0.25">
      <c r="H11" s="1"/>
      <c r="I11" s="1"/>
    </row>
    <row r="12" spans="1:9" x14ac:dyDescent="0.25">
      <c r="H12" s="1"/>
      <c r="I12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OK4">
                <anchor moveWithCells="1" sizeWithCells="1">
                  <from>
                    <xdr:col>9</xdr:col>
                    <xdr:colOff>581025</xdr:colOff>
                    <xdr:row>12</xdr:row>
                    <xdr:rowOff>152400</xdr:rowOff>
                  </from>
                  <to>
                    <xdr:col>12</xdr:col>
                    <xdr:colOff>28575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EF503-51ED-4CC8-A8D6-9A132334833A}">
  <dimension ref="A1:S15"/>
  <sheetViews>
    <sheetView workbookViewId="0">
      <selection activeCell="S5" sqref="S5"/>
    </sheetView>
  </sheetViews>
  <sheetFormatPr defaultRowHeight="15" x14ac:dyDescent="0.25"/>
  <cols>
    <col min="2" max="2" width="15.140625" customWidth="1"/>
    <col min="4" max="4" width="14.5703125" customWidth="1"/>
    <col min="6" max="7" width="11.42578125" customWidth="1"/>
    <col min="8" max="10" width="10" customWidth="1"/>
    <col min="15" max="15" width="12.42578125" customWidth="1"/>
    <col min="16" max="16" width="10.85546875" customWidth="1"/>
  </cols>
  <sheetData>
    <row r="1" spans="1:19" x14ac:dyDescent="0.25">
      <c r="A1" s="7" t="s">
        <v>11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9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</row>
    <row r="4" spans="1:19" x14ac:dyDescent="0.25">
      <c r="A4" s="6" t="s">
        <v>12</v>
      </c>
      <c r="B4" s="6" t="s">
        <v>74</v>
      </c>
      <c r="C4" s="6" t="s">
        <v>75</v>
      </c>
      <c r="D4" s="6" t="s">
        <v>76</v>
      </c>
      <c r="E4" s="6" t="s">
        <v>77</v>
      </c>
      <c r="F4" s="6" t="s">
        <v>78</v>
      </c>
      <c r="G4" s="6" t="s">
        <v>101</v>
      </c>
      <c r="H4" s="6" t="s">
        <v>80</v>
      </c>
      <c r="I4" s="6" t="s">
        <v>79</v>
      </c>
      <c r="J4" s="6" t="s">
        <v>115</v>
      </c>
      <c r="K4" s="6" t="s">
        <v>81</v>
      </c>
      <c r="L4" s="6" t="s">
        <v>82</v>
      </c>
      <c r="M4" s="6" t="s">
        <v>83</v>
      </c>
      <c r="N4" s="6" t="s">
        <v>84</v>
      </c>
      <c r="O4" s="6" t="s">
        <v>85</v>
      </c>
      <c r="P4" s="6" t="s">
        <v>86</v>
      </c>
      <c r="Q4" s="6" t="s">
        <v>87</v>
      </c>
      <c r="R4" s="6" t="s">
        <v>88</v>
      </c>
      <c r="S4" s="6" t="s">
        <v>89</v>
      </c>
    </row>
    <row r="5" spans="1:19" x14ac:dyDescent="0.25">
      <c r="A5">
        <v>1</v>
      </c>
      <c r="B5" t="s">
        <v>90</v>
      </c>
      <c r="C5">
        <v>8597</v>
      </c>
      <c r="D5" t="s">
        <v>102</v>
      </c>
      <c r="E5" t="s">
        <v>113</v>
      </c>
      <c r="F5">
        <v>50000</v>
      </c>
      <c r="G5">
        <v>26</v>
      </c>
      <c r="H5" s="5">
        <f>F5/30</f>
        <v>1666.6666666666667</v>
      </c>
      <c r="I5" s="5">
        <f>H5/8</f>
        <v>208.33333333333334</v>
      </c>
      <c r="J5" s="5">
        <f>F5/30*G5</f>
        <v>43333.333333333336</v>
      </c>
      <c r="K5">
        <f>F5*10%</f>
        <v>5000</v>
      </c>
      <c r="L5">
        <f>F5*4%</f>
        <v>2000</v>
      </c>
      <c r="M5">
        <f>F5*5%</f>
        <v>2500</v>
      </c>
      <c r="N5">
        <v>1</v>
      </c>
      <c r="O5" s="5">
        <f>F5/30/8*N5</f>
        <v>208.33333333333334</v>
      </c>
      <c r="P5" s="5">
        <f>J5+K5+L5+M5+O5</f>
        <v>53041.666666666672</v>
      </c>
      <c r="Q5">
        <f>F5*20%</f>
        <v>10000</v>
      </c>
      <c r="R5">
        <f>F5*15%</f>
        <v>7500</v>
      </c>
      <c r="S5" s="5">
        <f>P5-Q5-R5</f>
        <v>35541.666666666672</v>
      </c>
    </row>
    <row r="6" spans="1:19" x14ac:dyDescent="0.25">
      <c r="A6">
        <v>2</v>
      </c>
      <c r="B6" t="s">
        <v>91</v>
      </c>
      <c r="C6">
        <v>3365</v>
      </c>
      <c r="D6" t="s">
        <v>103</v>
      </c>
      <c r="E6" t="s">
        <v>114</v>
      </c>
      <c r="F6">
        <v>19000</v>
      </c>
      <c r="G6">
        <v>26</v>
      </c>
      <c r="H6" s="5">
        <f t="shared" ref="H6:H15" si="0">F6/30</f>
        <v>633.33333333333337</v>
      </c>
      <c r="I6" s="5">
        <f t="shared" ref="I6:I15" si="1">H6/8</f>
        <v>79.166666666666671</v>
      </c>
      <c r="J6" s="5">
        <f t="shared" ref="J6:J15" si="2">F6/30*G6</f>
        <v>16466.666666666668</v>
      </c>
      <c r="K6">
        <f t="shared" ref="K6:K15" si="3">F6*10%</f>
        <v>1900</v>
      </c>
      <c r="L6">
        <f t="shared" ref="L6:L15" si="4">F6*4%</f>
        <v>760</v>
      </c>
      <c r="M6">
        <f t="shared" ref="M6:M15" si="5">F6*5%</f>
        <v>950</v>
      </c>
      <c r="N6">
        <v>2</v>
      </c>
      <c r="O6" s="5">
        <f t="shared" ref="O6:O15" si="6">F6/30/8*N6</f>
        <v>158.33333333333334</v>
      </c>
      <c r="P6" s="5">
        <f t="shared" ref="P6:P15" si="7">J6+K6+L6+M6+O6</f>
        <v>20235</v>
      </c>
      <c r="Q6">
        <f t="shared" ref="Q6:Q15" si="8">F6*20%</f>
        <v>3800</v>
      </c>
      <c r="R6">
        <f t="shared" ref="R6:R15" si="9">F6*15%</f>
        <v>2850</v>
      </c>
      <c r="S6" s="5">
        <f t="shared" ref="S6:S15" si="10">P6-Q6-R6</f>
        <v>13585</v>
      </c>
    </row>
    <row r="7" spans="1:19" x14ac:dyDescent="0.25">
      <c r="A7">
        <v>3</v>
      </c>
      <c r="B7" t="s">
        <v>92</v>
      </c>
      <c r="C7">
        <v>2548</v>
      </c>
      <c r="D7" t="s">
        <v>104</v>
      </c>
      <c r="E7" t="s">
        <v>114</v>
      </c>
      <c r="F7">
        <v>19000</v>
      </c>
      <c r="G7">
        <v>24</v>
      </c>
      <c r="H7" s="5">
        <f t="shared" si="0"/>
        <v>633.33333333333337</v>
      </c>
      <c r="I7" s="5">
        <f t="shared" si="1"/>
        <v>79.166666666666671</v>
      </c>
      <c r="J7" s="5">
        <f t="shared" si="2"/>
        <v>15200</v>
      </c>
      <c r="K7">
        <f t="shared" si="3"/>
        <v>1900</v>
      </c>
      <c r="L7">
        <f t="shared" si="4"/>
        <v>760</v>
      </c>
      <c r="M7">
        <f t="shared" si="5"/>
        <v>950</v>
      </c>
      <c r="N7">
        <v>2</v>
      </c>
      <c r="O7" s="5">
        <f t="shared" si="6"/>
        <v>158.33333333333334</v>
      </c>
      <c r="P7" s="5">
        <f t="shared" si="7"/>
        <v>18968.333333333332</v>
      </c>
      <c r="Q7">
        <f t="shared" si="8"/>
        <v>3800</v>
      </c>
      <c r="R7">
        <f t="shared" si="9"/>
        <v>2850</v>
      </c>
      <c r="S7" s="5">
        <f t="shared" si="10"/>
        <v>12318.333333333332</v>
      </c>
    </row>
    <row r="8" spans="1:19" x14ac:dyDescent="0.25">
      <c r="A8">
        <v>4</v>
      </c>
      <c r="B8" t="s">
        <v>93</v>
      </c>
      <c r="C8">
        <v>1537</v>
      </c>
      <c r="D8" t="s">
        <v>105</v>
      </c>
      <c r="E8" t="s">
        <v>114</v>
      </c>
      <c r="F8">
        <v>19000</v>
      </c>
      <c r="G8">
        <v>24</v>
      </c>
      <c r="H8" s="5">
        <f t="shared" si="0"/>
        <v>633.33333333333337</v>
      </c>
      <c r="I8" s="5">
        <f t="shared" si="1"/>
        <v>79.166666666666671</v>
      </c>
      <c r="J8" s="5">
        <f t="shared" si="2"/>
        <v>15200</v>
      </c>
      <c r="K8">
        <f t="shared" si="3"/>
        <v>1900</v>
      </c>
      <c r="L8">
        <f t="shared" si="4"/>
        <v>760</v>
      </c>
      <c r="M8">
        <f t="shared" si="5"/>
        <v>950</v>
      </c>
      <c r="N8">
        <v>1</v>
      </c>
      <c r="O8" s="5">
        <f t="shared" si="6"/>
        <v>79.166666666666671</v>
      </c>
      <c r="P8" s="5">
        <f t="shared" si="7"/>
        <v>18889.166666666668</v>
      </c>
      <c r="Q8">
        <f t="shared" si="8"/>
        <v>3800</v>
      </c>
      <c r="R8">
        <f t="shared" si="9"/>
        <v>2850</v>
      </c>
      <c r="S8" s="5">
        <f t="shared" si="10"/>
        <v>12239.166666666668</v>
      </c>
    </row>
    <row r="9" spans="1:19" x14ac:dyDescent="0.25">
      <c r="A9">
        <v>5</v>
      </c>
      <c r="B9" t="s">
        <v>94</v>
      </c>
      <c r="C9">
        <v>4575</v>
      </c>
      <c r="D9" t="s">
        <v>106</v>
      </c>
      <c r="E9" t="s">
        <v>114</v>
      </c>
      <c r="F9">
        <v>19000</v>
      </c>
      <c r="G9">
        <v>24</v>
      </c>
      <c r="H9" s="5">
        <f t="shared" si="0"/>
        <v>633.33333333333337</v>
      </c>
      <c r="I9" s="5">
        <f t="shared" si="1"/>
        <v>79.166666666666671</v>
      </c>
      <c r="J9" s="5">
        <f t="shared" si="2"/>
        <v>15200</v>
      </c>
      <c r="K9">
        <f t="shared" si="3"/>
        <v>1900</v>
      </c>
      <c r="L9">
        <f t="shared" si="4"/>
        <v>760</v>
      </c>
      <c r="M9">
        <f t="shared" si="5"/>
        <v>950</v>
      </c>
      <c r="N9">
        <v>3</v>
      </c>
      <c r="O9" s="5">
        <f t="shared" si="6"/>
        <v>237.5</v>
      </c>
      <c r="P9" s="5">
        <f t="shared" si="7"/>
        <v>19047.5</v>
      </c>
      <c r="Q9">
        <f t="shared" si="8"/>
        <v>3800</v>
      </c>
      <c r="R9">
        <f t="shared" si="9"/>
        <v>2850</v>
      </c>
      <c r="S9" s="5">
        <f t="shared" si="10"/>
        <v>12397.5</v>
      </c>
    </row>
    <row r="10" spans="1:19" x14ac:dyDescent="0.25">
      <c r="A10">
        <v>6</v>
      </c>
      <c r="B10" t="s">
        <v>95</v>
      </c>
      <c r="C10">
        <v>2451</v>
      </c>
      <c r="D10" t="s">
        <v>107</v>
      </c>
      <c r="E10" t="s">
        <v>114</v>
      </c>
      <c r="F10">
        <v>19000</v>
      </c>
      <c r="G10">
        <v>24</v>
      </c>
      <c r="H10" s="5">
        <f t="shared" si="0"/>
        <v>633.33333333333337</v>
      </c>
      <c r="I10" s="5">
        <f t="shared" si="1"/>
        <v>79.166666666666671</v>
      </c>
      <c r="J10" s="5">
        <f t="shared" si="2"/>
        <v>15200</v>
      </c>
      <c r="K10">
        <f t="shared" si="3"/>
        <v>1900</v>
      </c>
      <c r="L10">
        <f t="shared" si="4"/>
        <v>760</v>
      </c>
      <c r="M10">
        <f t="shared" si="5"/>
        <v>950</v>
      </c>
      <c r="N10">
        <v>2</v>
      </c>
      <c r="O10" s="5">
        <f t="shared" si="6"/>
        <v>158.33333333333334</v>
      </c>
      <c r="P10" s="5">
        <f t="shared" si="7"/>
        <v>18968.333333333332</v>
      </c>
      <c r="Q10">
        <f t="shared" si="8"/>
        <v>3800</v>
      </c>
      <c r="R10">
        <f t="shared" si="9"/>
        <v>2850</v>
      </c>
      <c r="S10" s="5">
        <f t="shared" si="10"/>
        <v>12318.333333333332</v>
      </c>
    </row>
    <row r="11" spans="1:19" x14ac:dyDescent="0.25">
      <c r="A11">
        <v>7</v>
      </c>
      <c r="B11" t="s">
        <v>96</v>
      </c>
      <c r="C11">
        <v>4754</v>
      </c>
      <c r="D11" t="s">
        <v>108</v>
      </c>
      <c r="E11" t="s">
        <v>114</v>
      </c>
      <c r="F11">
        <v>18000</v>
      </c>
      <c r="G11">
        <v>27</v>
      </c>
      <c r="H11" s="5">
        <f t="shared" si="0"/>
        <v>600</v>
      </c>
      <c r="I11" s="5">
        <f t="shared" si="1"/>
        <v>75</v>
      </c>
      <c r="J11" s="5">
        <f t="shared" si="2"/>
        <v>16200</v>
      </c>
      <c r="K11">
        <f t="shared" si="3"/>
        <v>1800</v>
      </c>
      <c r="L11">
        <f t="shared" si="4"/>
        <v>720</v>
      </c>
      <c r="M11">
        <f t="shared" si="5"/>
        <v>900</v>
      </c>
      <c r="N11">
        <v>0</v>
      </c>
      <c r="O11" s="5">
        <f t="shared" si="6"/>
        <v>0</v>
      </c>
      <c r="P11" s="5">
        <f t="shared" si="7"/>
        <v>19620</v>
      </c>
      <c r="Q11">
        <f t="shared" si="8"/>
        <v>3600</v>
      </c>
      <c r="R11">
        <f t="shared" si="9"/>
        <v>2700</v>
      </c>
      <c r="S11" s="5">
        <f t="shared" si="10"/>
        <v>13320</v>
      </c>
    </row>
    <row r="12" spans="1:19" x14ac:dyDescent="0.25">
      <c r="A12">
        <v>8</v>
      </c>
      <c r="B12" t="s">
        <v>97</v>
      </c>
      <c r="C12">
        <v>4825</v>
      </c>
      <c r="D12" t="s">
        <v>109</v>
      </c>
      <c r="E12" t="s">
        <v>114</v>
      </c>
      <c r="F12">
        <v>15000</v>
      </c>
      <c r="G12">
        <v>29</v>
      </c>
      <c r="H12" s="5">
        <f t="shared" si="0"/>
        <v>500</v>
      </c>
      <c r="I12" s="5">
        <f t="shared" si="1"/>
        <v>62.5</v>
      </c>
      <c r="J12" s="5">
        <f t="shared" si="2"/>
        <v>14500</v>
      </c>
      <c r="K12">
        <f t="shared" si="3"/>
        <v>1500</v>
      </c>
      <c r="L12">
        <f t="shared" si="4"/>
        <v>600</v>
      </c>
      <c r="M12">
        <f t="shared" si="5"/>
        <v>750</v>
      </c>
      <c r="N12">
        <v>8</v>
      </c>
      <c r="O12" s="5">
        <f t="shared" si="6"/>
        <v>500</v>
      </c>
      <c r="P12" s="5">
        <f t="shared" si="7"/>
        <v>17850</v>
      </c>
      <c r="Q12">
        <f t="shared" si="8"/>
        <v>3000</v>
      </c>
      <c r="R12">
        <f t="shared" si="9"/>
        <v>2250</v>
      </c>
      <c r="S12" s="5">
        <f t="shared" si="10"/>
        <v>12600</v>
      </c>
    </row>
    <row r="13" spans="1:19" x14ac:dyDescent="0.25">
      <c r="A13">
        <v>9</v>
      </c>
      <c r="B13" t="s">
        <v>98</v>
      </c>
      <c r="C13">
        <v>2573</v>
      </c>
      <c r="D13" t="s">
        <v>110</v>
      </c>
      <c r="E13" t="s">
        <v>114</v>
      </c>
      <c r="F13">
        <v>15000</v>
      </c>
      <c r="G13">
        <v>29</v>
      </c>
      <c r="H13" s="5">
        <f t="shared" si="0"/>
        <v>500</v>
      </c>
      <c r="I13" s="5">
        <f t="shared" si="1"/>
        <v>62.5</v>
      </c>
      <c r="J13" s="5">
        <f t="shared" si="2"/>
        <v>14500</v>
      </c>
      <c r="K13">
        <f t="shared" si="3"/>
        <v>1500</v>
      </c>
      <c r="L13">
        <f t="shared" si="4"/>
        <v>600</v>
      </c>
      <c r="M13">
        <f t="shared" si="5"/>
        <v>750</v>
      </c>
      <c r="N13">
        <v>8</v>
      </c>
      <c r="O13" s="5">
        <f t="shared" si="6"/>
        <v>500</v>
      </c>
      <c r="P13" s="5">
        <f t="shared" si="7"/>
        <v>17850</v>
      </c>
      <c r="Q13">
        <f t="shared" si="8"/>
        <v>3000</v>
      </c>
      <c r="R13">
        <f t="shared" si="9"/>
        <v>2250</v>
      </c>
      <c r="S13" s="5">
        <f t="shared" si="10"/>
        <v>12600</v>
      </c>
    </row>
    <row r="14" spans="1:19" x14ac:dyDescent="0.25">
      <c r="A14">
        <v>10</v>
      </c>
      <c r="B14" t="s">
        <v>99</v>
      </c>
      <c r="C14">
        <v>2543</v>
      </c>
      <c r="D14" t="s">
        <v>111</v>
      </c>
      <c r="E14" t="s">
        <v>114</v>
      </c>
      <c r="F14">
        <v>15000</v>
      </c>
      <c r="G14">
        <v>29</v>
      </c>
      <c r="H14" s="5">
        <f t="shared" si="0"/>
        <v>500</v>
      </c>
      <c r="I14" s="5">
        <f t="shared" si="1"/>
        <v>62.5</v>
      </c>
      <c r="J14" s="5">
        <f t="shared" si="2"/>
        <v>14500</v>
      </c>
      <c r="K14">
        <f t="shared" si="3"/>
        <v>1500</v>
      </c>
      <c r="L14">
        <f t="shared" si="4"/>
        <v>600</v>
      </c>
      <c r="M14">
        <f t="shared" si="5"/>
        <v>750</v>
      </c>
      <c r="N14">
        <v>0</v>
      </c>
      <c r="O14" s="5">
        <f t="shared" si="6"/>
        <v>0</v>
      </c>
      <c r="P14" s="5">
        <f t="shared" si="7"/>
        <v>17350</v>
      </c>
      <c r="Q14">
        <f t="shared" si="8"/>
        <v>3000</v>
      </c>
      <c r="R14">
        <f t="shared" si="9"/>
        <v>2250</v>
      </c>
      <c r="S14" s="5">
        <f t="shared" si="10"/>
        <v>12100</v>
      </c>
    </row>
    <row r="15" spans="1:19" x14ac:dyDescent="0.25">
      <c r="A15">
        <v>11</v>
      </c>
      <c r="B15" t="s">
        <v>100</v>
      </c>
      <c r="C15">
        <v>4796</v>
      </c>
      <c r="D15" t="s">
        <v>112</v>
      </c>
      <c r="E15" t="s">
        <v>114</v>
      </c>
      <c r="F15">
        <v>18000</v>
      </c>
      <c r="G15">
        <v>29</v>
      </c>
      <c r="H15" s="5">
        <f t="shared" si="0"/>
        <v>600</v>
      </c>
      <c r="I15" s="5">
        <f t="shared" si="1"/>
        <v>75</v>
      </c>
      <c r="J15" s="5">
        <f t="shared" si="2"/>
        <v>17400</v>
      </c>
      <c r="K15">
        <f t="shared" si="3"/>
        <v>1800</v>
      </c>
      <c r="L15">
        <f t="shared" si="4"/>
        <v>720</v>
      </c>
      <c r="M15">
        <f t="shared" si="5"/>
        <v>900</v>
      </c>
      <c r="N15">
        <v>3</v>
      </c>
      <c r="O15" s="5">
        <f t="shared" si="6"/>
        <v>225</v>
      </c>
      <c r="P15" s="5">
        <f t="shared" si="7"/>
        <v>21045</v>
      </c>
      <c r="Q15">
        <f t="shared" si="8"/>
        <v>3600</v>
      </c>
      <c r="R15">
        <f t="shared" si="9"/>
        <v>2700</v>
      </c>
      <c r="S15" s="5">
        <f t="shared" si="10"/>
        <v>14745</v>
      </c>
    </row>
  </sheetData>
  <mergeCells count="1">
    <mergeCell ref="A1:Q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85E04-22B7-4A13-B610-4C7C408200DC}">
  <dimension ref="A1:Q33"/>
  <sheetViews>
    <sheetView topLeftCell="A16" workbookViewId="0">
      <selection activeCell="C31" sqref="C31"/>
    </sheetView>
  </sheetViews>
  <sheetFormatPr defaultRowHeight="15" x14ac:dyDescent="0.25"/>
  <cols>
    <col min="2" max="5" width="13.140625" customWidth="1"/>
    <col min="6" max="6" width="11" customWidth="1"/>
    <col min="10" max="10" width="14.7109375" customWidth="1"/>
  </cols>
  <sheetData>
    <row r="1" spans="1:17" x14ac:dyDescent="0.25">
      <c r="A1" s="9" t="s">
        <v>13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x14ac:dyDescent="0.25">
      <c r="A3" s="2" t="s">
        <v>12</v>
      </c>
      <c r="B3" s="2" t="s">
        <v>14</v>
      </c>
      <c r="C3" s="2" t="s">
        <v>36</v>
      </c>
      <c r="D3" s="2" t="s">
        <v>37</v>
      </c>
      <c r="E3" s="2" t="s">
        <v>38</v>
      </c>
      <c r="F3" s="2" t="s">
        <v>15</v>
      </c>
      <c r="G3" s="2" t="s">
        <v>16</v>
      </c>
      <c r="H3" s="2" t="s">
        <v>17</v>
      </c>
      <c r="I3" s="2" t="s">
        <v>18</v>
      </c>
      <c r="J3" s="2" t="s">
        <v>19</v>
      </c>
      <c r="K3" s="2" t="s">
        <v>20</v>
      </c>
      <c r="L3" s="2" t="s">
        <v>21</v>
      </c>
      <c r="M3" s="2" t="s">
        <v>23</v>
      </c>
      <c r="N3" s="2" t="s">
        <v>22</v>
      </c>
      <c r="O3" s="2" t="s">
        <v>24</v>
      </c>
    </row>
    <row r="4" spans="1:17" x14ac:dyDescent="0.25">
      <c r="A4" s="3">
        <v>1</v>
      </c>
      <c r="B4" s="3" t="s">
        <v>25</v>
      </c>
      <c r="C4" s="3">
        <v>1</v>
      </c>
      <c r="D4" s="3" t="s">
        <v>39</v>
      </c>
      <c r="E4" s="3" t="s">
        <v>50</v>
      </c>
      <c r="F4" s="3">
        <v>2</v>
      </c>
      <c r="G4" s="3">
        <v>65</v>
      </c>
      <c r="H4" s="3">
        <v>63</v>
      </c>
      <c r="I4" s="3">
        <v>46</v>
      </c>
      <c r="J4" s="3">
        <v>57</v>
      </c>
      <c r="K4" s="3">
        <f>SUM(G4:J4)</f>
        <v>231</v>
      </c>
      <c r="L4" s="3">
        <f>AVERAGE(G4:J4)</f>
        <v>57.75</v>
      </c>
      <c r="M4" s="20">
        <f>K4/4</f>
        <v>57.75</v>
      </c>
      <c r="N4" s="3" t="str">
        <f>IF(M4&gt;70,"a",IF(M4&gt;60,"b",IF(M4&gt;50,"c")))</f>
        <v>c</v>
      </c>
      <c r="O4" s="3" t="str">
        <f>IF(K4&gt;33,"pass","fail")</f>
        <v>pass</v>
      </c>
    </row>
    <row r="5" spans="1:17" x14ac:dyDescent="0.25">
      <c r="A5" s="3">
        <v>2</v>
      </c>
      <c r="B5" s="3" t="s">
        <v>26</v>
      </c>
      <c r="C5" s="3">
        <v>2</v>
      </c>
      <c r="D5" s="3" t="s">
        <v>40</v>
      </c>
      <c r="E5" s="3" t="s">
        <v>51</v>
      </c>
      <c r="F5" s="3">
        <v>3</v>
      </c>
      <c r="G5" s="3">
        <v>92</v>
      </c>
      <c r="H5" s="3">
        <v>87</v>
      </c>
      <c r="I5" s="3">
        <v>53</v>
      </c>
      <c r="J5" s="3">
        <v>81</v>
      </c>
      <c r="K5" s="3">
        <f t="shared" ref="K5:K14" si="0">SUM(G5:J5)</f>
        <v>313</v>
      </c>
      <c r="L5" s="3">
        <f t="shared" ref="L5:L14" si="1">AVERAGE(G5:J5)</f>
        <v>78.25</v>
      </c>
      <c r="M5" s="20">
        <f t="shared" ref="M5:M14" si="2">K5/4</f>
        <v>78.25</v>
      </c>
      <c r="N5" s="3" t="str">
        <f t="shared" ref="N5:N14" si="3">IF(M5&gt;70,"a",IF(M5&gt;60,"b",IF(M5&gt;50,"c")))</f>
        <v>a</v>
      </c>
      <c r="O5" s="3" t="str">
        <f t="shared" ref="O5:O14" si="4">IF(K5&gt;33,"pass","fail")</f>
        <v>pass</v>
      </c>
    </row>
    <row r="6" spans="1:17" x14ac:dyDescent="0.25">
      <c r="A6" s="3">
        <v>3</v>
      </c>
      <c r="B6" s="3" t="s">
        <v>27</v>
      </c>
      <c r="C6" s="3">
        <v>3</v>
      </c>
      <c r="D6" s="3" t="s">
        <v>41</v>
      </c>
      <c r="E6" s="3" t="s">
        <v>52</v>
      </c>
      <c r="F6" s="3">
        <v>4</v>
      </c>
      <c r="G6" s="3">
        <v>64</v>
      </c>
      <c r="H6" s="3">
        <v>79</v>
      </c>
      <c r="I6" s="3">
        <v>53</v>
      </c>
      <c r="J6" s="3">
        <v>26</v>
      </c>
      <c r="K6" s="3">
        <f t="shared" si="0"/>
        <v>222</v>
      </c>
      <c r="L6" s="3">
        <f t="shared" si="1"/>
        <v>55.5</v>
      </c>
      <c r="M6" s="20">
        <f t="shared" si="2"/>
        <v>55.5</v>
      </c>
      <c r="N6" s="3" t="str">
        <f t="shared" si="3"/>
        <v>c</v>
      </c>
      <c r="O6" s="3" t="str">
        <f t="shared" si="4"/>
        <v>pass</v>
      </c>
    </row>
    <row r="7" spans="1:17" x14ac:dyDescent="0.25">
      <c r="A7" s="3">
        <v>4</v>
      </c>
      <c r="B7" s="3" t="s">
        <v>28</v>
      </c>
      <c r="C7" s="3">
        <v>4</v>
      </c>
      <c r="D7" s="3" t="s">
        <v>42</v>
      </c>
      <c r="E7" s="3" t="s">
        <v>53</v>
      </c>
      <c r="F7" s="3">
        <v>5</v>
      </c>
      <c r="G7" s="3">
        <v>58</v>
      </c>
      <c r="H7" s="3">
        <v>69</v>
      </c>
      <c r="I7" s="3">
        <v>34</v>
      </c>
      <c r="J7" s="3">
        <v>60</v>
      </c>
      <c r="K7" s="3">
        <f t="shared" si="0"/>
        <v>221</v>
      </c>
      <c r="L7" s="3">
        <f t="shared" si="1"/>
        <v>55.25</v>
      </c>
      <c r="M7" s="20">
        <f t="shared" si="2"/>
        <v>55.25</v>
      </c>
      <c r="N7" s="3" t="str">
        <f t="shared" si="3"/>
        <v>c</v>
      </c>
      <c r="O7" s="3" t="str">
        <f t="shared" si="4"/>
        <v>pass</v>
      </c>
    </row>
    <row r="8" spans="1:17" x14ac:dyDescent="0.25">
      <c r="A8" s="3">
        <v>5</v>
      </c>
      <c r="B8" s="3" t="s">
        <v>29</v>
      </c>
      <c r="C8" s="3">
        <v>5</v>
      </c>
      <c r="D8" s="3" t="s">
        <v>43</v>
      </c>
      <c r="E8" s="3" t="s">
        <v>54</v>
      </c>
      <c r="F8" s="3">
        <v>6</v>
      </c>
      <c r="G8" s="3">
        <v>59</v>
      </c>
      <c r="H8" s="3">
        <v>84</v>
      </c>
      <c r="I8" s="3">
        <v>33</v>
      </c>
      <c r="J8" s="3">
        <v>70</v>
      </c>
      <c r="K8" s="3">
        <f t="shared" si="0"/>
        <v>246</v>
      </c>
      <c r="L8" s="3">
        <f t="shared" si="1"/>
        <v>61.5</v>
      </c>
      <c r="M8" s="20">
        <f t="shared" si="2"/>
        <v>61.5</v>
      </c>
      <c r="N8" s="3" t="str">
        <f t="shared" si="3"/>
        <v>b</v>
      </c>
      <c r="O8" s="3" t="str">
        <f t="shared" si="4"/>
        <v>pass</v>
      </c>
    </row>
    <row r="9" spans="1:17" x14ac:dyDescent="0.25">
      <c r="A9" s="3">
        <v>6</v>
      </c>
      <c r="B9" s="3" t="s">
        <v>30</v>
      </c>
      <c r="C9" s="3">
        <v>6</v>
      </c>
      <c r="D9" s="3" t="s">
        <v>44</v>
      </c>
      <c r="E9" s="3" t="s">
        <v>55</v>
      </c>
      <c r="F9" s="3">
        <v>7</v>
      </c>
      <c r="G9" s="3">
        <v>60</v>
      </c>
      <c r="H9" s="3">
        <v>39</v>
      </c>
      <c r="I9" s="3">
        <v>72</v>
      </c>
      <c r="J9" s="3">
        <v>61</v>
      </c>
      <c r="K9" s="3">
        <f t="shared" si="0"/>
        <v>232</v>
      </c>
      <c r="L9" s="3">
        <f t="shared" si="1"/>
        <v>58</v>
      </c>
      <c r="M9" s="20">
        <f t="shared" si="2"/>
        <v>58</v>
      </c>
      <c r="N9" s="3" t="str">
        <f t="shared" si="3"/>
        <v>c</v>
      </c>
      <c r="O9" s="3" t="str">
        <f t="shared" si="4"/>
        <v>pass</v>
      </c>
    </row>
    <row r="10" spans="1:17" x14ac:dyDescent="0.25">
      <c r="A10" s="3">
        <v>7</v>
      </c>
      <c r="B10" s="3" t="s">
        <v>31</v>
      </c>
      <c r="C10" s="3">
        <v>7</v>
      </c>
      <c r="D10" s="3" t="s">
        <v>45</v>
      </c>
      <c r="E10" s="3" t="s">
        <v>56</v>
      </c>
      <c r="F10" s="3">
        <v>8</v>
      </c>
      <c r="G10" s="3">
        <v>81</v>
      </c>
      <c r="H10" s="3">
        <v>55</v>
      </c>
      <c r="I10" s="3">
        <v>59</v>
      </c>
      <c r="J10" s="3">
        <v>63</v>
      </c>
      <c r="K10" s="3">
        <f t="shared" si="0"/>
        <v>258</v>
      </c>
      <c r="L10" s="3">
        <f t="shared" si="1"/>
        <v>64.5</v>
      </c>
      <c r="M10" s="20">
        <f t="shared" si="2"/>
        <v>64.5</v>
      </c>
      <c r="N10" s="3" t="str">
        <f t="shared" si="3"/>
        <v>b</v>
      </c>
      <c r="O10" s="3" t="str">
        <f t="shared" si="4"/>
        <v>pass</v>
      </c>
    </row>
    <row r="11" spans="1:17" x14ac:dyDescent="0.25">
      <c r="A11" s="3">
        <v>8</v>
      </c>
      <c r="B11" s="3" t="s">
        <v>32</v>
      </c>
      <c r="C11" s="3">
        <v>8</v>
      </c>
      <c r="D11" s="3" t="s">
        <v>46</v>
      </c>
      <c r="E11" s="3" t="s">
        <v>57</v>
      </c>
      <c r="F11" s="3">
        <v>9</v>
      </c>
      <c r="G11" s="3">
        <v>33</v>
      </c>
      <c r="H11" s="3">
        <v>76</v>
      </c>
      <c r="I11" s="3">
        <v>72</v>
      </c>
      <c r="J11" s="3">
        <v>64</v>
      </c>
      <c r="K11" s="3">
        <f t="shared" si="0"/>
        <v>245</v>
      </c>
      <c r="L11" s="3">
        <f t="shared" si="1"/>
        <v>61.25</v>
      </c>
      <c r="M11" s="20">
        <f t="shared" si="2"/>
        <v>61.25</v>
      </c>
      <c r="N11" s="3" t="str">
        <f t="shared" si="3"/>
        <v>b</v>
      </c>
      <c r="O11" s="3" t="str">
        <f t="shared" si="4"/>
        <v>pass</v>
      </c>
    </row>
    <row r="12" spans="1:17" x14ac:dyDescent="0.25">
      <c r="A12" s="3">
        <v>9</v>
      </c>
      <c r="B12" s="3" t="s">
        <v>33</v>
      </c>
      <c r="C12" s="3">
        <v>9</v>
      </c>
      <c r="D12" s="3" t="s">
        <v>47</v>
      </c>
      <c r="E12" s="3" t="s">
        <v>58</v>
      </c>
      <c r="F12" s="3">
        <v>10</v>
      </c>
      <c r="G12" s="3">
        <v>58</v>
      </c>
      <c r="H12" s="3">
        <v>91</v>
      </c>
      <c r="I12" s="3">
        <v>44</v>
      </c>
      <c r="J12" s="3">
        <v>52</v>
      </c>
      <c r="K12" s="3">
        <f t="shared" si="0"/>
        <v>245</v>
      </c>
      <c r="L12" s="3">
        <f t="shared" si="1"/>
        <v>61.25</v>
      </c>
      <c r="M12" s="20">
        <f t="shared" si="2"/>
        <v>61.25</v>
      </c>
      <c r="N12" s="3" t="str">
        <f t="shared" si="3"/>
        <v>b</v>
      </c>
      <c r="O12" s="3" t="str">
        <f t="shared" si="4"/>
        <v>pass</v>
      </c>
    </row>
    <row r="13" spans="1:17" x14ac:dyDescent="0.25">
      <c r="A13" s="3">
        <v>10</v>
      </c>
      <c r="B13" s="3" t="s">
        <v>34</v>
      </c>
      <c r="C13" s="3">
        <v>10</v>
      </c>
      <c r="D13" s="3" t="s">
        <v>48</v>
      </c>
      <c r="E13" s="3" t="s">
        <v>59</v>
      </c>
      <c r="F13" s="3">
        <v>11</v>
      </c>
      <c r="G13" s="3">
        <v>86</v>
      </c>
      <c r="H13" s="3">
        <v>25</v>
      </c>
      <c r="I13" s="3">
        <v>89</v>
      </c>
      <c r="J13" s="3">
        <v>93</v>
      </c>
      <c r="K13" s="3">
        <f t="shared" si="0"/>
        <v>293</v>
      </c>
      <c r="L13" s="3">
        <f t="shared" si="1"/>
        <v>73.25</v>
      </c>
      <c r="M13" s="20">
        <f t="shared" si="2"/>
        <v>73.25</v>
      </c>
      <c r="N13" s="3" t="str">
        <f t="shared" si="3"/>
        <v>a</v>
      </c>
      <c r="O13" s="3" t="str">
        <f t="shared" si="4"/>
        <v>pass</v>
      </c>
    </row>
    <row r="14" spans="1:17" x14ac:dyDescent="0.25">
      <c r="A14" s="3">
        <v>11</v>
      </c>
      <c r="B14" s="3" t="s">
        <v>35</v>
      </c>
      <c r="C14" s="3">
        <v>11</v>
      </c>
      <c r="D14" s="3" t="s">
        <v>49</v>
      </c>
      <c r="E14" s="3" t="s">
        <v>60</v>
      </c>
      <c r="F14" s="3">
        <v>12</v>
      </c>
      <c r="G14" s="3">
        <v>89</v>
      </c>
      <c r="H14" s="3">
        <v>85</v>
      </c>
      <c r="I14" s="3">
        <v>88</v>
      </c>
      <c r="J14" s="3">
        <v>41</v>
      </c>
      <c r="K14" s="3">
        <f t="shared" si="0"/>
        <v>303</v>
      </c>
      <c r="L14" s="3">
        <f t="shared" si="1"/>
        <v>75.75</v>
      </c>
      <c r="M14" s="20">
        <f t="shared" si="2"/>
        <v>75.75</v>
      </c>
      <c r="N14" s="3" t="str">
        <f t="shared" si="3"/>
        <v>a</v>
      </c>
      <c r="O14" s="3" t="str">
        <f t="shared" si="4"/>
        <v>pass</v>
      </c>
    </row>
    <row r="17" spans="2:13" x14ac:dyDescent="0.25">
      <c r="C17" s="14" t="s">
        <v>61</v>
      </c>
      <c r="D17" s="15"/>
      <c r="E17" s="15"/>
      <c r="F17" s="15"/>
      <c r="G17" s="15"/>
      <c r="H17" s="15"/>
      <c r="I17" s="15"/>
      <c r="J17" s="15"/>
      <c r="K17" s="15"/>
      <c r="L17" s="15"/>
      <c r="M17" s="16"/>
    </row>
    <row r="18" spans="2:13" x14ac:dyDescent="0.25">
      <c r="C18" s="17"/>
      <c r="D18" s="18"/>
      <c r="E18" s="18"/>
      <c r="F18" s="18"/>
      <c r="G18" s="18"/>
      <c r="H18" s="18"/>
      <c r="I18" s="18"/>
      <c r="J18" s="18"/>
      <c r="K18" s="18"/>
      <c r="L18" s="18"/>
      <c r="M18" s="19"/>
    </row>
    <row r="20" spans="2:13" x14ac:dyDescent="0.25">
      <c r="B20" s="1" t="s">
        <v>36</v>
      </c>
      <c r="C20" s="1">
        <v>7</v>
      </c>
    </row>
    <row r="21" spans="2:13" x14ac:dyDescent="0.25">
      <c r="B21" s="1" t="s">
        <v>62</v>
      </c>
      <c r="C21" s="1" t="str">
        <f>VLOOKUP(C20,A3:O14,2,0)</f>
        <v>rohan</v>
      </c>
    </row>
    <row r="22" spans="2:13" x14ac:dyDescent="0.25">
      <c r="B22" s="1" t="s">
        <v>63</v>
      </c>
      <c r="C22" s="1" t="str">
        <f>VLOOKUP(C20,A3:O14,4,0)</f>
        <v>Arjun singh</v>
      </c>
    </row>
    <row r="23" spans="2:13" x14ac:dyDescent="0.25">
      <c r="B23" s="1" t="s">
        <v>64</v>
      </c>
      <c r="C23" s="1" t="str">
        <f>VLOOKUP(C20,A3:O14,5,0)</f>
        <v>rgjidg</v>
      </c>
    </row>
    <row r="25" spans="2:13" x14ac:dyDescent="0.25">
      <c r="B25" s="1" t="s">
        <v>65</v>
      </c>
      <c r="C25" s="1" t="s">
        <v>66</v>
      </c>
      <c r="D25" s="1" t="s">
        <v>67</v>
      </c>
      <c r="E25" s="1" t="s">
        <v>68</v>
      </c>
      <c r="F25" s="11" t="s">
        <v>70</v>
      </c>
      <c r="G25" s="1" t="s">
        <v>71</v>
      </c>
      <c r="H25" s="12"/>
    </row>
    <row r="26" spans="2:13" x14ac:dyDescent="0.25">
      <c r="B26" s="1" t="s">
        <v>16</v>
      </c>
      <c r="C26" s="3">
        <v>100</v>
      </c>
      <c r="D26" s="3">
        <v>33</v>
      </c>
      <c r="E26" s="3">
        <f>VLOOKUP(C20,A3:O14,7,0)</f>
        <v>81</v>
      </c>
      <c r="F26" s="13">
        <f>E26/C26</f>
        <v>0.81</v>
      </c>
      <c r="G26" s="3" t="str">
        <f>IF(F26&lt;E26,"passed","failed")</f>
        <v>passed</v>
      </c>
      <c r="H26" s="12"/>
    </row>
    <row r="27" spans="2:13" x14ac:dyDescent="0.25">
      <c r="B27" s="1" t="s">
        <v>17</v>
      </c>
      <c r="C27" s="3">
        <v>100</v>
      </c>
      <c r="D27" s="3">
        <v>33</v>
      </c>
      <c r="E27" s="3">
        <f>VLOOKUP(C20,A3:O14,8,0)</f>
        <v>55</v>
      </c>
      <c r="F27" s="13">
        <f t="shared" ref="F27:F29" si="5">E27/C27</f>
        <v>0.55000000000000004</v>
      </c>
      <c r="G27" s="3" t="str">
        <f t="shared" ref="G27:G29" si="6">IF(F27&lt;E27,"passed","failed")</f>
        <v>passed</v>
      </c>
      <c r="H27" s="12"/>
    </row>
    <row r="28" spans="2:13" x14ac:dyDescent="0.25">
      <c r="B28" s="1" t="s">
        <v>18</v>
      </c>
      <c r="C28" s="3">
        <v>100</v>
      </c>
      <c r="D28" s="3">
        <v>33</v>
      </c>
      <c r="E28" s="3">
        <f>VLOOKUP(C20,A3:O14,9,0)</f>
        <v>59</v>
      </c>
      <c r="F28" s="13">
        <f t="shared" si="5"/>
        <v>0.59</v>
      </c>
      <c r="G28" s="3" t="str">
        <f t="shared" si="6"/>
        <v>passed</v>
      </c>
      <c r="H28" s="12"/>
    </row>
    <row r="29" spans="2:13" x14ac:dyDescent="0.25">
      <c r="B29" s="1" t="s">
        <v>69</v>
      </c>
      <c r="C29" s="3">
        <v>100</v>
      </c>
      <c r="D29" s="3">
        <v>33</v>
      </c>
      <c r="E29" s="3">
        <f>VLOOKUP(C20,A3:O14,10,0)</f>
        <v>63</v>
      </c>
      <c r="F29" s="13">
        <f t="shared" si="5"/>
        <v>0.63</v>
      </c>
      <c r="G29" s="3" t="str">
        <f t="shared" si="6"/>
        <v>passed</v>
      </c>
      <c r="H29" s="12"/>
    </row>
    <row r="31" spans="2:13" x14ac:dyDescent="0.25">
      <c r="B31" s="1" t="s">
        <v>73</v>
      </c>
      <c r="C31" s="1" t="str">
        <f>IF(F33&gt;=60%,"passed","failed")</f>
        <v>passed</v>
      </c>
      <c r="E31" s="1" t="s">
        <v>20</v>
      </c>
      <c r="F31" s="1">
        <f>SUM(C26:C29)</f>
        <v>400</v>
      </c>
    </row>
    <row r="32" spans="2:13" x14ac:dyDescent="0.25">
      <c r="E32" s="1" t="s">
        <v>68</v>
      </c>
      <c r="F32" s="1">
        <f>SUM(E26:E29)</f>
        <v>258</v>
      </c>
    </row>
    <row r="33" spans="5:6" x14ac:dyDescent="0.25">
      <c r="E33" s="1" t="s">
        <v>72</v>
      </c>
      <c r="F33" s="4">
        <f>F31/F32</f>
        <v>1.5503875968992249</v>
      </c>
    </row>
  </sheetData>
  <mergeCells count="2">
    <mergeCell ref="A1:Q2"/>
    <mergeCell ref="C17:M18"/>
  </mergeCells>
  <dataValidations count="1">
    <dataValidation type="list" allowBlank="1" showInputMessage="1" showErrorMessage="1" sqref="C20" xr:uid="{4CD890CB-26A0-4DC5-9DEF-96EEF6586A42}">
      <formula1>$C$3:$C$14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48451-F087-46E9-87BF-D56904F32C8C}">
  <dimension ref="A1:J9"/>
  <sheetViews>
    <sheetView workbookViewId="0">
      <selection activeCell="K20" sqref="K20"/>
    </sheetView>
  </sheetViews>
  <sheetFormatPr defaultRowHeight="15" x14ac:dyDescent="0.25"/>
  <cols>
    <col min="10" max="10" width="10" bestFit="1" customWidth="1"/>
  </cols>
  <sheetData>
    <row r="1" spans="1:10" x14ac:dyDescent="0.25">
      <c r="A1" t="s">
        <v>116</v>
      </c>
    </row>
    <row r="3" spans="1:10" x14ac:dyDescent="0.25">
      <c r="C3" t="s">
        <v>36</v>
      </c>
      <c r="D3" s="21"/>
      <c r="E3" s="21"/>
      <c r="F3" s="21"/>
      <c r="G3" t="str">
        <f>IF(D3="","*",1)</f>
        <v>*</v>
      </c>
      <c r="J3">
        <f>D3</f>
        <v>0</v>
      </c>
    </row>
    <row r="4" spans="1:10" x14ac:dyDescent="0.25">
      <c r="J4">
        <f>D5</f>
        <v>0</v>
      </c>
    </row>
    <row r="5" spans="1:10" x14ac:dyDescent="0.25">
      <c r="C5" t="s">
        <v>62</v>
      </c>
      <c r="D5" s="21"/>
      <c r="E5" s="21"/>
      <c r="F5" s="21"/>
      <c r="G5" t="str">
        <f>IF(D5="","*",1)</f>
        <v>*</v>
      </c>
      <c r="J5">
        <f>D7</f>
        <v>0</v>
      </c>
    </row>
    <row r="6" spans="1:10" x14ac:dyDescent="0.25">
      <c r="J6">
        <f>D9</f>
        <v>0</v>
      </c>
    </row>
    <row r="7" spans="1:10" x14ac:dyDescent="0.25">
      <c r="C7" t="s">
        <v>117</v>
      </c>
      <c r="D7" s="21"/>
      <c r="E7" s="21"/>
      <c r="F7" s="21"/>
      <c r="G7" t="str">
        <f>IF(D7="","*",1)</f>
        <v>*</v>
      </c>
    </row>
    <row r="9" spans="1:10" x14ac:dyDescent="0.25">
      <c r="C9" t="s">
        <v>118</v>
      </c>
      <c r="D9" s="21"/>
      <c r="E9" s="21"/>
      <c r="F9" s="21"/>
      <c r="G9" t="str">
        <f>IF(D9="","*",1)</f>
        <v>*</v>
      </c>
    </row>
  </sheetData>
  <mergeCells count="4">
    <mergeCell ref="D9:F9"/>
    <mergeCell ref="D7:F7"/>
    <mergeCell ref="D5:F5"/>
    <mergeCell ref="D3:F3"/>
  </mergeCells>
  <conditionalFormatting sqref="D3:F3 D5:F5 D7:F7 D9:F9">
    <cfRule type="notContainsBlanks" dxfId="0" priority="2">
      <formula>LEN(TRIM(D3))&gt;0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_xludf.Cut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8</xdr:col>
                    <xdr:colOff>238125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5ECAE55-B161-4D97-9530-22DF9271F834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G3 G5 G7 G9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9AF6-5464-4F1D-A66A-04C1E18B00E8}">
  <dimension ref="A1:D4"/>
  <sheetViews>
    <sheetView tabSelected="1" workbookViewId="0">
      <selection activeCell="H3" sqref="H3"/>
    </sheetView>
  </sheetViews>
  <sheetFormatPr defaultRowHeight="15" x14ac:dyDescent="0.25"/>
  <sheetData>
    <row r="1" spans="1:4" x14ac:dyDescent="0.25">
      <c r="A1" t="s">
        <v>121</v>
      </c>
      <c r="B1" t="s">
        <v>62</v>
      </c>
      <c r="C1" t="s">
        <v>117</v>
      </c>
      <c r="D1" t="s">
        <v>118</v>
      </c>
    </row>
    <row r="2" spans="1:4" x14ac:dyDescent="0.25">
      <c r="A2">
        <v>2</v>
      </c>
      <c r="B2" t="s">
        <v>119</v>
      </c>
      <c r="C2" t="s">
        <v>120</v>
      </c>
      <c r="D2">
        <v>987553582</v>
      </c>
    </row>
    <row r="3" spans="1:4" x14ac:dyDescent="0.25">
      <c r="A3">
        <v>3</v>
      </c>
      <c r="B3" t="s">
        <v>122</v>
      </c>
      <c r="C3" t="s">
        <v>123</v>
      </c>
      <c r="D3">
        <v>987456</v>
      </c>
    </row>
    <row r="4" spans="1:4" x14ac:dyDescent="0.25">
      <c r="A4">
        <v>5</v>
      </c>
      <c r="B4" t="s">
        <v>124</v>
      </c>
      <c r="C4" t="s">
        <v>125</v>
      </c>
      <c r="D4">
        <v>54856469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Salary sheet</vt:lpstr>
      <vt:lpstr>Report Card</vt:lpstr>
      <vt:lpstr>marco form</vt:lpstr>
      <vt:lpstr>form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2023-11-14T06:55:00Z</dcterms:created>
  <dcterms:modified xsi:type="dcterms:W3CDTF">2023-12-07T07:23:05Z</dcterms:modified>
</cp:coreProperties>
</file>